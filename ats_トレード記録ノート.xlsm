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7A2D7E96-6E34-419A-AE5F-296B3A7E7977}"/>
  <workbookPr filterPrivacy="1" codeName="ThisWorkbook" defaultThemeVersion="124226"/>
  <bookViews>
    <workbookView xWindow="0" yWindow="0" windowWidth="17220" windowHeight="11145" activeTab="1"/>
  </bookViews>
  <sheets>
    <sheet name="Sheet1" sheetId="1" r:id="rId1"/>
    <sheet name="Sheet2" sheetId="2" r:id="rId2"/>
  </sheets>
  <calcPr calcId="114210"/>
</workbook>
</file>

<file path=xl/calcChain.xml><?xml version="1.0" encoding="utf-8"?>
<calcChain xmlns="http://schemas.openxmlformats.org/spreadsheetml/2006/main">
  <c r="Y12" i="2"/>
  <c r="Y5"/>
  <c r="AG7"/>
  <c r="AG5"/>
  <c r="AG8"/>
  <c r="AG9"/>
  <c r="AG11"/>
  <c r="AG6"/>
  <c r="AG12"/>
  <c r="AG4"/>
  <c r="AG10"/>
  <c r="K18"/>
  <c r="I18"/>
  <c r="G18"/>
  <c r="E18"/>
  <c r="C18"/>
  <c r="K17"/>
  <c r="I17"/>
  <c r="G17"/>
  <c r="E17"/>
  <c r="C17"/>
  <c r="A1" i="1"/>
  <c r="G2" i="2"/>
  <c r="E2"/>
  <c r="C2"/>
  <c r="S13"/>
  <c r="Q13"/>
  <c r="P13"/>
  <c r="N13"/>
  <c r="S12"/>
  <c r="Q12"/>
  <c r="P12"/>
  <c r="N12"/>
  <c r="S11"/>
  <c r="Q11"/>
  <c r="P11"/>
  <c r="N11"/>
  <c r="S10"/>
  <c r="Q10"/>
  <c r="P10"/>
  <c r="N10"/>
  <c r="S9"/>
  <c r="Q9"/>
  <c r="P9"/>
  <c r="N9"/>
  <c r="S8"/>
  <c r="Q8"/>
  <c r="P8"/>
  <c r="N8"/>
  <c r="S7"/>
  <c r="Q7"/>
  <c r="P7"/>
  <c r="N7"/>
  <c r="S6"/>
  <c r="Q6"/>
  <c r="P6"/>
  <c r="N6"/>
  <c r="S5"/>
  <c r="Q5"/>
  <c r="P5"/>
  <c r="N5"/>
  <c r="S4"/>
  <c r="Q4"/>
  <c r="P4"/>
  <c r="N4"/>
  <c r="AA5"/>
  <c r="AA9"/>
  <c r="AA7"/>
  <c r="AA8"/>
  <c r="AA6"/>
  <c r="Y8"/>
  <c r="Y9"/>
  <c r="Y7"/>
  <c r="Y6"/>
  <c r="H18"/>
  <c r="D18"/>
  <c r="J18"/>
  <c r="D17"/>
  <c r="J17"/>
  <c r="F18"/>
  <c r="F17"/>
  <c r="H17"/>
  <c r="AD4"/>
  <c r="AD5"/>
  <c r="AD10"/>
  <c r="AD8"/>
  <c r="AC4"/>
  <c r="AD6"/>
  <c r="AD12"/>
  <c r="AC10"/>
  <c r="AC5"/>
  <c r="AD11"/>
  <c r="AD7"/>
  <c r="AD9"/>
  <c r="AC11"/>
  <c r="AC6"/>
  <c r="AC9"/>
  <c r="AC8"/>
  <c r="AC12"/>
  <c r="AC7"/>
  <c r="AE4"/>
  <c r="AE12"/>
  <c r="AE11"/>
  <c r="AE6"/>
  <c r="AE7"/>
  <c r="AE9"/>
  <c r="AE10"/>
  <c r="AE8"/>
  <c r="AE5"/>
</calcChain>
</file>

<file path=xl/sharedStrings.xml><?xml version="1.0" encoding="utf-8"?>
<sst xmlns="http://schemas.openxmlformats.org/spreadsheetml/2006/main" count="89" uniqueCount="46">
  <si>
    <t>A</t>
    <phoneticPr fontId="1"/>
  </si>
  <si>
    <t>B</t>
    <phoneticPr fontId="1"/>
  </si>
  <si>
    <t>&lt;</t>
    <phoneticPr fontId="1"/>
  </si>
  <si>
    <t>C</t>
    <phoneticPr fontId="1"/>
  </si>
  <si>
    <t>日付：</t>
    <rPh sb="0" eb="2">
      <t>ヒヅケ</t>
    </rPh>
    <phoneticPr fontId="4"/>
  </si>
  <si>
    <t>年</t>
  </si>
  <si>
    <t>月</t>
    <rPh sb="0" eb="1">
      <t>ゲツ</t>
    </rPh>
    <phoneticPr fontId="4"/>
  </si>
  <si>
    <t>日</t>
    <rPh sb="0" eb="1">
      <t>ニチ</t>
    </rPh>
    <phoneticPr fontId="4"/>
  </si>
  <si>
    <t>長期(75SMA)</t>
  </si>
  <si>
    <t>超長期(200SMA)</t>
  </si>
  <si>
    <t>ボラテリティ</t>
  </si>
  <si>
    <t>EURUSD</t>
  </si>
  <si>
    <t>〜</t>
  </si>
  <si>
    <t>EURJPY</t>
  </si>
  <si>
    <t>USDJPY</t>
  </si>
  <si>
    <t>GBPUSD</t>
  </si>
  <si>
    <t>GBPJPY</t>
  </si>
  <si>
    <t>AUDUSD</t>
  </si>
  <si>
    <t>AUDJPY</t>
  </si>
  <si>
    <t>EURGBP</t>
  </si>
  <si>
    <t>EURAUD</t>
  </si>
  <si>
    <t>GBPAUD</t>
  </si>
  <si>
    <t>※上昇・下落の定義：終値ベースでの突破が確認されること。</t>
  </si>
  <si>
    <t>買われている</t>
  </si>
  <si>
    <t>主要通貨の強弱感</t>
  </si>
  <si>
    <t>売られている</t>
  </si>
  <si>
    <t>L　：</t>
  </si>
  <si>
    <t>S　：</t>
  </si>
  <si>
    <t>N　：</t>
  </si>
  <si>
    <t>＞</t>
    <phoneticPr fontId="4"/>
  </si>
  <si>
    <t>＞</t>
    <phoneticPr fontId="4"/>
  </si>
  <si>
    <t>＞</t>
    <phoneticPr fontId="4"/>
  </si>
  <si>
    <t>＞</t>
    <phoneticPr fontId="4"/>
  </si>
  <si>
    <t>強弱感 5</t>
    <phoneticPr fontId="1"/>
  </si>
  <si>
    <t>強弱感 25</t>
    <phoneticPr fontId="1"/>
  </si>
  <si>
    <t>Daily 5</t>
    <phoneticPr fontId="1"/>
  </si>
  <si>
    <t>Daily 25</t>
    <phoneticPr fontId="1"/>
  </si>
  <si>
    <t>短期 5</t>
    <phoneticPr fontId="1"/>
  </si>
  <si>
    <t>中期 25</t>
    <phoneticPr fontId="4"/>
  </si>
  <si>
    <t>EUR</t>
  </si>
  <si>
    <t>GBP</t>
  </si>
  <si>
    <t>JPY</t>
  </si>
  <si>
    <t>AUD</t>
  </si>
  <si>
    <t>EUR</t>
    <phoneticPr fontId="1"/>
  </si>
  <si>
    <t>USD</t>
    <phoneticPr fontId="1"/>
  </si>
  <si>
    <t xml:space="preserve"> USDJPY AUDJPY EURUSD GBPJPY GBPUSD EURJPY AUDUSD EURAUD GBPAUD</t>
    <phoneticPr fontId="1"/>
  </si>
</sst>
</file>

<file path=xl/styles.xml><?xml version="1.0" encoding="utf-8"?>
<styleSheet xmlns="http://schemas.openxmlformats.org/spreadsheetml/2006/main">
  <numFmts count="1">
    <numFmt numFmtId="176" formatCode="0_);[Red]\(0\)"/>
  </numFmts>
  <fonts count="14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color indexed="8"/>
      <name val="Verdana"/>
      <family val="2"/>
    </font>
    <font>
      <sz val="11"/>
      <color indexed="8"/>
      <name val="メイリオ"/>
      <family val="3"/>
      <charset val="128"/>
    </font>
    <font>
      <sz val="6"/>
      <name val="Verdana"/>
      <family val="2"/>
    </font>
    <font>
      <sz val="12"/>
      <color indexed="8"/>
      <name val="Verdana"/>
      <family val="2"/>
    </font>
    <font>
      <b/>
      <sz val="11"/>
      <color indexed="8"/>
      <name val="メイリオ"/>
      <family val="3"/>
      <charset val="128"/>
    </font>
    <font>
      <sz val="16"/>
      <color indexed="8"/>
      <name val="メイリオ"/>
      <family val="3"/>
      <charset val="128"/>
    </font>
    <font>
      <sz val="14"/>
      <color indexed="8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4"/>
      <color indexed="8"/>
      <name val="ＭＳ ゴシック"/>
      <family val="3"/>
      <charset val="128"/>
    </font>
    <font>
      <sz val="14"/>
      <color indexed="8"/>
      <name val="ＭＳ ゴシック"/>
      <family val="3"/>
      <charset val="128"/>
    </font>
    <font>
      <sz val="14"/>
      <color indexed="9"/>
      <name val="ＭＳ ゴシック"/>
      <family val="3"/>
      <charset val="128"/>
    </font>
    <font>
      <sz val="11"/>
      <color indexed="8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30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9"/>
      </patternFill>
    </fill>
    <fill>
      <patternFill patternType="solid">
        <fgColor indexed="33"/>
      </patternFill>
    </fill>
    <fill>
      <patternFill patternType="solid">
        <fgColor indexed="23"/>
      </patternFill>
    </fill>
    <fill>
      <patternFill patternType="solid">
        <fgColor indexed="21"/>
      </patternFill>
    </fill>
    <fill>
      <patternFill patternType="solid">
        <fgColor indexed="25"/>
      </patternFill>
    </fill>
    <fill>
      <patternFill patternType="solid">
        <fgColor indexed="24"/>
      </patternFill>
    </fill>
    <fill>
      <patternFill patternType="solid">
        <fgColor indexed="32"/>
      </patternFill>
    </fill>
  </fills>
  <borders count="25">
    <border>
      <left/>
      <right/>
      <top/>
      <bottom/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2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20"/>
      </bottom>
      <diagonal/>
    </border>
    <border>
      <left style="thin">
        <color indexed="64"/>
      </left>
      <right style="thin">
        <color indexed="64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64"/>
      </left>
      <right style="thin">
        <color indexed="64"/>
      </right>
      <top style="thin">
        <color indexed="20"/>
      </top>
      <bottom style="thin">
        <color indexed="64"/>
      </bottom>
      <diagonal/>
    </border>
    <border>
      <left/>
      <right/>
      <top style="thin">
        <color indexed="20"/>
      </top>
      <bottom/>
      <diagonal/>
    </border>
    <border>
      <left/>
      <right/>
      <top/>
      <bottom style="thin">
        <color indexed="36"/>
      </bottom>
      <diagonal/>
    </border>
    <border>
      <left style="thin">
        <color indexed="36"/>
      </left>
      <right/>
      <top style="thin">
        <color indexed="36"/>
      </top>
      <bottom/>
      <diagonal/>
    </border>
    <border>
      <left style="thin">
        <color indexed="36"/>
      </left>
      <right style="thin">
        <color indexed="20"/>
      </right>
      <top/>
      <bottom style="thin">
        <color indexed="20"/>
      </bottom>
      <diagonal/>
    </border>
    <border>
      <left style="thin">
        <color indexed="36"/>
      </left>
      <right style="thin">
        <color indexed="20"/>
      </right>
      <top style="thin">
        <color indexed="20"/>
      </top>
      <bottom style="thin">
        <color indexed="36"/>
      </bottom>
      <diagonal/>
    </border>
    <border>
      <left/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0"/>
      </left>
      <right style="thin">
        <color indexed="36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36"/>
      </bottom>
      <diagonal/>
    </border>
    <border>
      <left style="thin">
        <color indexed="20"/>
      </left>
      <right style="thin">
        <color indexed="36"/>
      </right>
      <top style="thin">
        <color indexed="20"/>
      </top>
      <bottom style="thin">
        <color indexed="36"/>
      </bottom>
      <diagonal/>
    </border>
    <border>
      <left/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0"/>
      </left>
      <right/>
      <top style="thin">
        <color indexed="20"/>
      </top>
      <bottom style="thin">
        <color indexed="20"/>
      </bottom>
      <diagonal/>
    </border>
    <border>
      <left/>
      <right/>
      <top style="thin">
        <color indexed="20"/>
      </top>
      <bottom style="thin">
        <color indexed="20"/>
      </bottom>
      <diagonal/>
    </border>
    <border>
      <left/>
      <right/>
      <top style="thin">
        <color indexed="36"/>
      </top>
      <bottom style="thin">
        <color indexed="20"/>
      </bottom>
      <diagonal/>
    </border>
    <border>
      <left/>
      <right style="thin">
        <color indexed="20"/>
      </right>
      <top style="thin">
        <color indexed="36"/>
      </top>
      <bottom style="thin">
        <color indexed="20"/>
      </bottom>
      <diagonal/>
    </border>
    <border>
      <left style="thin">
        <color indexed="20"/>
      </left>
      <right/>
      <top style="thin">
        <color indexed="36"/>
      </top>
      <bottom style="thin">
        <color indexed="20"/>
      </bottom>
      <diagonal/>
    </border>
    <border>
      <left/>
      <right style="thin">
        <color indexed="36"/>
      </right>
      <top style="thin">
        <color indexed="36"/>
      </top>
      <bottom style="thin">
        <color indexed="20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0" fontId="5" fillId="0" borderId="0" applyNumberFormat="0" applyFill="0" applyBorder="0" applyProtection="0">
      <alignment vertical="top" wrapText="1"/>
    </xf>
  </cellStyleXfs>
  <cellXfs count="81">
    <xf numFmtId="0" fontId="0" fillId="0" borderId="0" xfId="0"/>
    <xf numFmtId="0" fontId="0" fillId="0" borderId="0" xfId="0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14" fontId="7" fillId="0" borderId="1" xfId="0" applyNumberFormat="1" applyFont="1" applyBorder="1" applyAlignment="1">
      <alignment horizontal="left" vertical="center" wrapText="1"/>
    </xf>
    <xf numFmtId="14" fontId="7" fillId="0" borderId="1" xfId="0" applyNumberFormat="1" applyFont="1" applyBorder="1" applyAlignment="1">
      <alignment vertical="center" wrapText="1"/>
    </xf>
    <xf numFmtId="14" fontId="7" fillId="0" borderId="2" xfId="0" applyNumberFormat="1" applyFont="1" applyBorder="1" applyAlignment="1">
      <alignment vertical="center" wrapText="1"/>
    </xf>
    <xf numFmtId="0" fontId="0" fillId="0" borderId="0" xfId="0" applyFill="1"/>
    <xf numFmtId="1" fontId="3" fillId="0" borderId="0" xfId="2" applyNumberFormat="1" applyFont="1" applyFill="1" applyBorder="1" applyAlignment="1">
      <alignment vertical="top" wrapText="1"/>
    </xf>
    <xf numFmtId="14" fontId="7" fillId="0" borderId="1" xfId="0" applyNumberFormat="1" applyFont="1" applyBorder="1" applyAlignment="1">
      <alignment horizontal="center" vertical="center" wrapText="1"/>
    </xf>
    <xf numFmtId="176" fontId="7" fillId="0" borderId="1" xfId="0" applyNumberFormat="1" applyFont="1" applyBorder="1" applyAlignment="1">
      <alignment horizontal="center" vertical="center" wrapText="1"/>
    </xf>
    <xf numFmtId="176" fontId="8" fillId="0" borderId="3" xfId="0" applyNumberFormat="1" applyFont="1" applyBorder="1" applyAlignment="1">
      <alignment horizontal="center" vertical="center" wrapText="1"/>
    </xf>
    <xf numFmtId="1" fontId="10" fillId="6" borderId="4" xfId="0" applyNumberFormat="1" applyFont="1" applyFill="1" applyBorder="1" applyAlignment="1">
      <alignment horizontal="center" vertical="center" wrapText="1"/>
    </xf>
    <xf numFmtId="49" fontId="10" fillId="6" borderId="5" xfId="0" applyNumberFormat="1" applyFont="1" applyFill="1" applyBorder="1" applyAlignment="1">
      <alignment horizontal="center" vertical="center" wrapText="1"/>
    </xf>
    <xf numFmtId="0" fontId="10" fillId="7" borderId="6" xfId="0" applyNumberFormat="1" applyFont="1" applyFill="1" applyBorder="1" applyAlignment="1">
      <alignment horizontal="center" vertical="center" wrapText="1"/>
    </xf>
    <xf numFmtId="49" fontId="10" fillId="7" borderId="6" xfId="0" applyNumberFormat="1" applyFont="1" applyFill="1" applyBorder="1" applyAlignment="1">
      <alignment horizontal="center" vertical="top" wrapText="1"/>
    </xf>
    <xf numFmtId="0" fontId="10" fillId="7" borderId="6" xfId="0" applyNumberFormat="1" applyFont="1" applyFill="1" applyBorder="1" applyAlignment="1">
      <alignment horizontal="center" vertical="top" wrapText="1"/>
    </xf>
    <xf numFmtId="49" fontId="10" fillId="7" borderId="6" xfId="0" applyNumberFormat="1" applyFont="1" applyFill="1" applyBorder="1" applyAlignment="1">
      <alignment horizontal="center" vertical="center" wrapText="1"/>
    </xf>
    <xf numFmtId="49" fontId="10" fillId="6" borderId="7" xfId="0" applyNumberFormat="1" applyFont="1" applyFill="1" applyBorder="1" applyAlignment="1">
      <alignment horizontal="center" vertical="center" wrapText="1"/>
    </xf>
    <xf numFmtId="1" fontId="10" fillId="7" borderId="8" xfId="2" applyNumberFormat="1" applyFont="1" applyFill="1" applyBorder="1" applyAlignment="1">
      <alignment vertical="top" wrapText="1"/>
    </xf>
    <xf numFmtId="1" fontId="10" fillId="0" borderId="8" xfId="2" applyNumberFormat="1" applyFont="1" applyFill="1" applyBorder="1" applyAlignment="1">
      <alignment vertical="top" wrapText="1"/>
    </xf>
    <xf numFmtId="0" fontId="11" fillId="0" borderId="0" xfId="0" applyFont="1"/>
    <xf numFmtId="1" fontId="10" fillId="7" borderId="9" xfId="2" applyNumberFormat="1" applyFont="1" applyFill="1" applyBorder="1" applyAlignment="1">
      <alignment vertical="center" wrapText="1"/>
    </xf>
    <xf numFmtId="1" fontId="10" fillId="0" borderId="0" xfId="2" applyNumberFormat="1" applyFont="1" applyFill="1" applyBorder="1" applyAlignment="1">
      <alignment vertical="top" wrapText="1"/>
    </xf>
    <xf numFmtId="1" fontId="10" fillId="0" borderId="10" xfId="2" applyNumberFormat="1" applyFont="1" applyFill="1" applyBorder="1" applyAlignment="1">
      <alignment vertical="center" wrapText="1"/>
    </xf>
    <xf numFmtId="49" fontId="10" fillId="0" borderId="0" xfId="2" applyNumberFormat="1" applyFont="1" applyFill="1" applyBorder="1" applyAlignment="1">
      <alignment horizontal="left" vertical="center" wrapText="1"/>
    </xf>
    <xf numFmtId="49" fontId="10" fillId="8" borderId="11" xfId="2" applyNumberFormat="1" applyFont="1" applyFill="1" applyBorder="1" applyAlignment="1">
      <alignment horizontal="center" vertical="center" wrapText="1"/>
    </xf>
    <xf numFmtId="49" fontId="10" fillId="8" borderId="12" xfId="2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0" xfId="0" applyNumberFormat="1" applyFont="1" applyFill="1" applyBorder="1" applyAlignment="1">
      <alignment horizontal="center" vertical="top" wrapText="1"/>
    </xf>
    <xf numFmtId="0" fontId="0" fillId="0" borderId="0" xfId="0" applyFont="1" applyFill="1" applyAlignment="1">
      <alignment vertical="center" wrapText="1"/>
    </xf>
    <xf numFmtId="14" fontId="7" fillId="0" borderId="13" xfId="0" applyNumberFormat="1" applyFont="1" applyFill="1" applyBorder="1" applyAlignment="1">
      <alignment horizontal="center" vertical="center" wrapText="1"/>
    </xf>
    <xf numFmtId="1" fontId="6" fillId="0" borderId="0" xfId="2" applyNumberFormat="1" applyFont="1" applyFill="1" applyBorder="1" applyAlignment="1">
      <alignment horizontal="center" vertical="center" wrapText="1"/>
    </xf>
    <xf numFmtId="49" fontId="6" fillId="0" borderId="0" xfId="2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10" fillId="7" borderId="6" xfId="2" applyNumberFormat="1" applyFont="1" applyFill="1" applyBorder="1" applyAlignment="1">
      <alignment horizontal="center" vertical="center" wrapText="1"/>
    </xf>
    <xf numFmtId="0" fontId="10" fillId="7" borderId="15" xfId="2" applyNumberFormat="1" applyFont="1" applyFill="1" applyBorder="1" applyAlignment="1">
      <alignment horizontal="center" vertical="center" wrapText="1"/>
    </xf>
    <xf numFmtId="0" fontId="10" fillId="7" borderId="16" xfId="2" applyNumberFormat="1" applyFont="1" applyFill="1" applyBorder="1" applyAlignment="1">
      <alignment horizontal="center" vertical="center" wrapText="1"/>
    </xf>
    <xf numFmtId="0" fontId="10" fillId="7" borderId="17" xfId="2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0" fillId="0" borderId="14" xfId="0" applyBorder="1" applyAlignment="1">
      <alignment horizontal="center"/>
    </xf>
    <xf numFmtId="0" fontId="13" fillId="0" borderId="14" xfId="0" applyNumberFormat="1" applyFont="1" applyFill="1" applyBorder="1" applyAlignment="1">
      <alignment horizontal="center" vertical="center" wrapText="1"/>
    </xf>
    <xf numFmtId="0" fontId="0" fillId="0" borderId="14" xfId="0" applyNumberFormat="1" applyBorder="1" applyAlignment="1">
      <alignment horizontal="center" vertical="center"/>
    </xf>
    <xf numFmtId="49" fontId="12" fillId="13" borderId="23" xfId="2" applyNumberFormat="1" applyFont="1" applyFill="1" applyBorder="1" applyAlignment="1">
      <alignment horizontal="center" vertical="center" wrapText="1"/>
    </xf>
    <xf numFmtId="1" fontId="12" fillId="13" borderId="24" xfId="2" applyNumberFormat="1" applyFont="1" applyFill="1" applyBorder="1" applyAlignment="1">
      <alignment horizontal="center" vertical="center" wrapText="1"/>
    </xf>
    <xf numFmtId="49" fontId="8" fillId="7" borderId="19" xfId="0" applyNumberFormat="1" applyFont="1" applyFill="1" applyBorder="1" applyAlignment="1">
      <alignment horizontal="center" vertical="center" wrapText="1"/>
    </xf>
    <xf numFmtId="0" fontId="8" fillId="7" borderId="18" xfId="0" applyNumberFormat="1" applyFont="1" applyFill="1" applyBorder="1" applyAlignment="1">
      <alignment horizontal="center" vertical="center" wrapText="1"/>
    </xf>
    <xf numFmtId="49" fontId="10" fillId="7" borderId="19" xfId="0" applyNumberFormat="1" applyFont="1" applyFill="1" applyBorder="1" applyAlignment="1">
      <alignment horizontal="center" vertical="center" wrapText="1"/>
    </xf>
    <xf numFmtId="0" fontId="10" fillId="7" borderId="18" xfId="0" applyNumberFormat="1" applyFont="1" applyFill="1" applyBorder="1" applyAlignment="1">
      <alignment horizontal="center" vertical="center" wrapText="1"/>
    </xf>
    <xf numFmtId="49" fontId="10" fillId="3" borderId="21" xfId="2" applyNumberFormat="1" applyFont="1" applyFill="1" applyBorder="1" applyAlignment="1">
      <alignment horizontal="center" vertical="center" wrapText="1"/>
    </xf>
    <xf numFmtId="1" fontId="10" fillId="3" borderId="22" xfId="2" applyNumberFormat="1" applyFont="1" applyFill="1" applyBorder="1" applyAlignment="1">
      <alignment horizontal="center" vertical="center" wrapText="1"/>
    </xf>
    <xf numFmtId="1" fontId="10" fillId="0" borderId="9" xfId="2" applyNumberFormat="1" applyFont="1" applyFill="1" applyBorder="1" applyAlignment="1">
      <alignment horizontal="center" vertical="center" wrapText="1"/>
    </xf>
    <xf numFmtId="49" fontId="10" fillId="2" borderId="23" xfId="2" applyNumberFormat="1" applyFont="1" applyFill="1" applyBorder="1" applyAlignment="1">
      <alignment horizontal="center" vertical="center" wrapText="1"/>
    </xf>
    <xf numFmtId="1" fontId="10" fillId="2" borderId="21" xfId="2" applyNumberFormat="1" applyFont="1" applyFill="1" applyBorder="1" applyAlignment="1">
      <alignment horizontal="center" vertical="center" wrapText="1"/>
    </xf>
    <xf numFmtId="1" fontId="10" fillId="2" borderId="22" xfId="2" applyNumberFormat="1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49" fontId="10" fillId="0" borderId="0" xfId="2" applyNumberFormat="1" applyFont="1" applyFill="1" applyBorder="1" applyAlignment="1">
      <alignment horizontal="center" vertical="center" wrapText="1"/>
    </xf>
    <xf numFmtId="1" fontId="10" fillId="0" borderId="8" xfId="2" applyNumberFormat="1" applyFont="1" applyFill="1" applyBorder="1" applyAlignment="1">
      <alignment horizontal="center" vertical="center" wrapText="1"/>
    </xf>
    <xf numFmtId="49" fontId="10" fillId="9" borderId="19" xfId="0" applyNumberFormat="1" applyFont="1" applyFill="1" applyBorder="1" applyAlignment="1">
      <alignment horizontal="center" vertical="center" wrapText="1"/>
    </xf>
    <xf numFmtId="1" fontId="10" fillId="9" borderId="18" xfId="0" applyNumberFormat="1" applyFont="1" applyFill="1" applyBorder="1" applyAlignment="1">
      <alignment horizontal="center" vertical="top" wrapText="1"/>
    </xf>
    <xf numFmtId="49" fontId="10" fillId="5" borderId="19" xfId="0" applyNumberFormat="1" applyFont="1" applyFill="1" applyBorder="1" applyAlignment="1">
      <alignment horizontal="center" vertical="center" wrapText="1"/>
    </xf>
    <xf numFmtId="1" fontId="10" fillId="5" borderId="18" xfId="0" applyNumberFormat="1" applyFont="1" applyFill="1" applyBorder="1" applyAlignment="1">
      <alignment horizontal="center" vertical="top" wrapText="1"/>
    </xf>
    <xf numFmtId="49" fontId="10" fillId="12" borderId="19" xfId="0" applyNumberFormat="1" applyFont="1" applyFill="1" applyBorder="1" applyAlignment="1">
      <alignment horizontal="center" vertical="center" wrapText="1"/>
    </xf>
    <xf numFmtId="1" fontId="10" fillId="12" borderId="18" xfId="0" applyNumberFormat="1" applyFont="1" applyFill="1" applyBorder="1" applyAlignment="1">
      <alignment horizontal="center" vertical="top" wrapText="1"/>
    </xf>
    <xf numFmtId="49" fontId="10" fillId="10" borderId="20" xfId="0" applyNumberFormat="1" applyFont="1" applyFill="1" applyBorder="1" applyAlignment="1">
      <alignment horizontal="center" vertical="center" wrapText="1"/>
    </xf>
    <xf numFmtId="1" fontId="10" fillId="10" borderId="18" xfId="0" applyNumberFormat="1" applyFont="1" applyFill="1" applyBorder="1" applyAlignment="1">
      <alignment horizontal="center" vertical="top" wrapText="1"/>
    </xf>
    <xf numFmtId="49" fontId="10" fillId="4" borderId="19" xfId="0" applyNumberFormat="1" applyFont="1" applyFill="1" applyBorder="1" applyAlignment="1">
      <alignment horizontal="center" vertical="center" wrapText="1"/>
    </xf>
    <xf numFmtId="1" fontId="10" fillId="4" borderId="20" xfId="0" applyNumberFormat="1" applyFont="1" applyFill="1" applyBorder="1" applyAlignment="1">
      <alignment horizontal="center" vertical="top" wrapText="1"/>
    </xf>
    <xf numFmtId="1" fontId="10" fillId="4" borderId="18" xfId="0" applyNumberFormat="1" applyFont="1" applyFill="1" applyBorder="1" applyAlignment="1">
      <alignment horizontal="center" vertical="top" wrapText="1"/>
    </xf>
    <xf numFmtId="49" fontId="10" fillId="10" borderId="19" xfId="0" applyNumberFormat="1" applyFont="1" applyFill="1" applyBorder="1" applyAlignment="1">
      <alignment horizontal="center" vertical="center" wrapText="1"/>
    </xf>
    <xf numFmtId="1" fontId="10" fillId="10" borderId="20" xfId="0" applyNumberFormat="1" applyFont="1" applyFill="1" applyBorder="1" applyAlignment="1">
      <alignment horizontal="center" vertical="top" wrapText="1"/>
    </xf>
    <xf numFmtId="49" fontId="10" fillId="11" borderId="19" xfId="0" applyNumberFormat="1" applyFont="1" applyFill="1" applyBorder="1" applyAlignment="1">
      <alignment horizontal="center" vertical="center" wrapText="1"/>
    </xf>
    <xf numFmtId="1" fontId="10" fillId="11" borderId="20" xfId="0" applyNumberFormat="1" applyFont="1" applyFill="1" applyBorder="1" applyAlignment="1">
      <alignment horizontal="center" vertical="top" wrapText="1"/>
    </xf>
    <xf numFmtId="1" fontId="10" fillId="11" borderId="18" xfId="0" applyNumberFormat="1" applyFont="1" applyFill="1" applyBorder="1" applyAlignment="1">
      <alignment horizontal="center" vertical="top" wrapText="1"/>
    </xf>
  </cellXfs>
  <cellStyles count="3">
    <cellStyle name="標準" xfId="0" builtinId="0"/>
    <cellStyle name="標準 2" xfId="1"/>
    <cellStyle name="標準 3" xfId="2"/>
  </cellStyles>
  <dxfs count="4">
    <dxf>
      <font>
        <color theme="8"/>
      </font>
    </dxf>
    <dxf>
      <font>
        <color theme="4"/>
      </font>
    </dxf>
    <dxf>
      <font>
        <color theme="8"/>
      </font>
    </dxf>
    <dxf>
      <font>
        <color theme="4"/>
      </font>
    </dxf>
  </dxfs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3"/>
  <sheetViews>
    <sheetView workbookViewId="0"/>
  </sheetViews>
  <sheetFormatPr defaultRowHeight="13.5"/>
  <cols>
    <col min="1" max="1" width="8.75" customWidth="1"/>
    <col min="2" max="2" width="2.75" bestFit="1" customWidth="1"/>
    <col min="3" max="3" width="2.5" bestFit="1" customWidth="1"/>
    <col min="4" max="4" width="2.75" bestFit="1" customWidth="1"/>
  </cols>
  <sheetData>
    <row r="1" spans="1:4">
      <c r="A1" t="str">
        <f>INDEX(B1:B3,MAX((COUNTIF(B1:B3,B1:B3)=2)*ROW(1:3)))&amp;C1&amp;INDEX(B1:B3,MAX((COUNTIF(B1:B3,B1:B3)=1)*ROW(1:3)))&amp;C1&amp;INDEX(D1:D3,MAX((COUNTIF(B1:B3,D1:D3)=0)*ROW(1:3)))</f>
        <v>A&lt;A&lt;B</v>
      </c>
      <c r="B1" t="s">
        <v>0</v>
      </c>
      <c r="C1" t="s">
        <v>2</v>
      </c>
      <c r="D1" t="s">
        <v>1</v>
      </c>
    </row>
    <row r="2" spans="1:4">
      <c r="B2" t="s">
        <v>0</v>
      </c>
      <c r="C2" t="s">
        <v>2</v>
      </c>
      <c r="D2" t="s">
        <v>3</v>
      </c>
    </row>
    <row r="3" spans="1:4">
      <c r="B3" t="s">
        <v>1</v>
      </c>
      <c r="C3" t="s">
        <v>2</v>
      </c>
      <c r="D3" t="s">
        <v>3</v>
      </c>
    </row>
  </sheetData>
  <sheetCalcPr fullCalcOnLoad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N21"/>
  <sheetViews>
    <sheetView tabSelected="1" zoomScale="80" zoomScaleNormal="80" workbookViewId="0">
      <selection activeCell="N21" sqref="N21"/>
    </sheetView>
  </sheetViews>
  <sheetFormatPr defaultRowHeight="13.5"/>
  <cols>
    <col min="1" max="1" width="8" customWidth="1"/>
    <col min="2" max="2" width="16.75" customWidth="1"/>
    <col min="3" max="6" width="10.125" customWidth="1"/>
    <col min="7" max="10" width="8.5" customWidth="1"/>
    <col min="11" max="11" width="13.75" customWidth="1"/>
    <col min="24" max="24" width="6.625" customWidth="1"/>
    <col min="25" max="25" width="14.75" customWidth="1"/>
    <col min="26" max="27" width="6.625" customWidth="1"/>
    <col min="32" max="32" width="12.375" customWidth="1"/>
  </cols>
  <sheetData>
    <row r="1" spans="1:40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40" ht="24.75">
      <c r="A2" s="31"/>
      <c r="B2" s="32" t="s">
        <v>4</v>
      </c>
      <c r="C2" s="10">
        <f ca="1">YEAR(NOW())</f>
        <v>2017</v>
      </c>
      <c r="D2" s="8" t="s">
        <v>5</v>
      </c>
      <c r="E2" s="9">
        <f ca="1">MONTH(NOW())</f>
        <v>3</v>
      </c>
      <c r="F2" s="8" t="s">
        <v>6</v>
      </c>
      <c r="G2" s="9">
        <f ca="1">DAY(NOW())</f>
        <v>20</v>
      </c>
      <c r="H2" s="3" t="s">
        <v>7</v>
      </c>
      <c r="I2" s="4"/>
      <c r="J2" s="4"/>
      <c r="K2" s="4"/>
      <c r="L2" s="4"/>
      <c r="M2" s="4"/>
      <c r="N2" s="4"/>
      <c r="O2" s="4"/>
      <c r="P2" s="4"/>
      <c r="Q2" s="4"/>
      <c r="R2" s="4"/>
      <c r="S2" s="5"/>
    </row>
    <row r="3" spans="1:40" ht="42.6" customHeight="1">
      <c r="A3" s="1"/>
      <c r="B3" s="11"/>
      <c r="C3" s="71" t="s">
        <v>37</v>
      </c>
      <c r="D3" s="72"/>
      <c r="E3" s="67" t="s">
        <v>38</v>
      </c>
      <c r="F3" s="68"/>
      <c r="G3" s="65" t="s">
        <v>8</v>
      </c>
      <c r="H3" s="66"/>
      <c r="I3" s="69" t="s">
        <v>9</v>
      </c>
      <c r="J3" s="70"/>
      <c r="K3" s="78" t="s">
        <v>10</v>
      </c>
      <c r="L3" s="79"/>
      <c r="M3" s="80"/>
      <c r="N3" s="76" t="s">
        <v>33</v>
      </c>
      <c r="O3" s="77"/>
      <c r="P3" s="72"/>
      <c r="Q3" s="73" t="s">
        <v>34</v>
      </c>
      <c r="R3" s="74"/>
      <c r="S3" s="75"/>
      <c r="U3" s="30"/>
    </row>
    <row r="4" spans="1:40" ht="26.1" customHeight="1">
      <c r="A4" s="1"/>
      <c r="B4" s="12" t="s">
        <v>11</v>
      </c>
      <c r="C4" s="52"/>
      <c r="D4" s="53"/>
      <c r="E4" s="52"/>
      <c r="F4" s="53"/>
      <c r="G4" s="54"/>
      <c r="H4" s="55"/>
      <c r="I4" s="54"/>
      <c r="J4" s="55"/>
      <c r="K4" s="13"/>
      <c r="L4" s="14" t="s">
        <v>12</v>
      </c>
      <c r="M4" s="13"/>
      <c r="N4" s="15" t="str">
        <f>IF(C4="","",IF(C4="上昇","EUR","USD"))</f>
        <v/>
      </c>
      <c r="O4" s="16" t="s">
        <v>29</v>
      </c>
      <c r="P4" s="15" t="str">
        <f>IF(C4="","",IF(C4="下落","EUR","USD"))</f>
        <v/>
      </c>
      <c r="Q4" s="15" t="str">
        <f>IF(E4="","",IF(E4="上昇","EUR","USD"))</f>
        <v/>
      </c>
      <c r="R4" s="16" t="s">
        <v>30</v>
      </c>
      <c r="S4" s="15" t="str">
        <f>IF(E4="","",IF(E4="下落","EUR","USD"))</f>
        <v/>
      </c>
      <c r="U4" s="36"/>
      <c r="V4" s="36"/>
      <c r="W4" s="27"/>
      <c r="X4" s="62">
        <v>5</v>
      </c>
      <c r="Y4" s="62"/>
      <c r="Z4" s="62">
        <v>25</v>
      </c>
      <c r="AA4" s="62"/>
      <c r="AC4" s="46" t="e">
        <f ca="1">VLOOKUP("USD",$X$5:$Y$9,2,FALSE)</f>
        <v>#NAME?</v>
      </c>
      <c r="AD4" s="46" t="e">
        <f ca="1">VLOOKUP("JPY",$X$5:$Y$9,2,FALSE)</f>
        <v>#NAME?</v>
      </c>
      <c r="AE4" s="47" t="e">
        <f t="shared" ref="AE4:AE12" ca="1" si="0">MAX(AC4,AD4)-MIN(AC4,AD4)</f>
        <v>#NAME?</v>
      </c>
      <c r="AF4" s="47" t="s">
        <v>14</v>
      </c>
      <c r="AG4" s="49" t="str">
        <f>IF($C$6=$E$6,IF($C$6="上昇","L","S"),"N")</f>
        <v>S</v>
      </c>
    </row>
    <row r="5" spans="1:40" ht="26.1" customHeight="1">
      <c r="A5" s="1"/>
      <c r="B5" s="12" t="s">
        <v>13</v>
      </c>
      <c r="C5" s="52"/>
      <c r="D5" s="53"/>
      <c r="E5" s="52"/>
      <c r="F5" s="53"/>
      <c r="G5" s="54"/>
      <c r="H5" s="55"/>
      <c r="I5" s="54"/>
      <c r="J5" s="55"/>
      <c r="K5" s="13"/>
      <c r="L5" s="14" t="s">
        <v>12</v>
      </c>
      <c r="M5" s="13"/>
      <c r="N5" s="15" t="str">
        <f>IF(C5="","",IF(C5="上昇","EUR","JPY"))</f>
        <v/>
      </c>
      <c r="O5" s="16" t="s">
        <v>31</v>
      </c>
      <c r="P5" s="15" t="str">
        <f>IF(C5="","",IF(C5="下落","EUR","JPY"))</f>
        <v/>
      </c>
      <c r="Q5" s="15" t="str">
        <f>IF(E5="","",IF(E5="上昇","EUR","JPY"))</f>
        <v/>
      </c>
      <c r="R5" s="16" t="s">
        <v>29</v>
      </c>
      <c r="S5" s="15" t="str">
        <f>IF(E5="","",IF(E5="下落","EUR","JPY"))</f>
        <v/>
      </c>
      <c r="U5" s="36"/>
      <c r="V5" s="36"/>
      <c r="X5" s="41" t="s">
        <v>41</v>
      </c>
      <c r="Y5" s="40" t="e">
        <f ca="1">COUNTIFS($N$4:$N$13,X5)</f>
        <v>#NAME?</v>
      </c>
      <c r="Z5" s="41" t="s">
        <v>39</v>
      </c>
      <c r="AA5" s="40" t="e">
        <f ca="1">COUNTIFS($Q$4:$Q$13,Z5)</f>
        <v>#NAME?</v>
      </c>
      <c r="AC5" s="46" t="e">
        <f ca="1">VLOOKUP("AUD",$X$5:$Y$9,2,FALSE)</f>
        <v>#NAME?</v>
      </c>
      <c r="AD5" s="46" t="e">
        <f ca="1">VLOOKUP("JPY",$X$5:$Y$9,2,FALSE)</f>
        <v>#NAME?</v>
      </c>
      <c r="AE5" s="47" t="e">
        <f t="shared" ca="1" si="0"/>
        <v>#NAME?</v>
      </c>
      <c r="AF5" s="48" t="s">
        <v>18</v>
      </c>
      <c r="AG5" s="49" t="str">
        <f>IF($C$10=$E$10,IF($C$10="上昇","L","S"),"N")</f>
        <v>S</v>
      </c>
      <c r="AH5" s="37"/>
      <c r="AI5" s="37"/>
      <c r="AJ5" s="39"/>
      <c r="AK5" s="39"/>
      <c r="AL5" s="39"/>
      <c r="AM5" s="37"/>
      <c r="AN5" s="6"/>
    </row>
    <row r="6" spans="1:40" ht="26.1" customHeight="1">
      <c r="A6" s="1"/>
      <c r="B6" s="12" t="s">
        <v>14</v>
      </c>
      <c r="C6" s="52"/>
      <c r="D6" s="53"/>
      <c r="E6" s="52"/>
      <c r="F6" s="53"/>
      <c r="G6" s="54"/>
      <c r="H6" s="55"/>
      <c r="I6" s="54"/>
      <c r="J6" s="55"/>
      <c r="K6" s="13"/>
      <c r="L6" s="14" t="s">
        <v>12</v>
      </c>
      <c r="M6" s="13"/>
      <c r="N6" s="15" t="str">
        <f>IF(C6="","",IF(C6="上昇","USD","JPY"))</f>
        <v/>
      </c>
      <c r="O6" s="16" t="s">
        <v>29</v>
      </c>
      <c r="P6" s="15" t="str">
        <f>IF(C6="","",IF(C6="下落","USD","JPY"))</f>
        <v/>
      </c>
      <c r="Q6" s="15" t="str">
        <f>IF(E6="","",IF(E6="上昇","USD","JPY"))</f>
        <v/>
      </c>
      <c r="R6" s="16" t="s">
        <v>29</v>
      </c>
      <c r="S6" s="15" t="str">
        <f>IF(E6="","",IF(E6="下落","USD","JPY"))</f>
        <v/>
      </c>
      <c r="U6" s="36"/>
      <c r="V6" s="36"/>
      <c r="X6" s="41" t="s">
        <v>43</v>
      </c>
      <c r="Y6" s="40" t="e">
        <f ca="1">COUNTIFS($N$4:$N$13,X6)</f>
        <v>#NAME?</v>
      </c>
      <c r="Z6" s="40" t="s">
        <v>42</v>
      </c>
      <c r="AA6" s="40" t="e">
        <f ca="1">COUNTIFS($Q$4:$Q$13,Z6)</f>
        <v>#NAME?</v>
      </c>
      <c r="AC6" s="46" t="e">
        <f ca="1">VLOOKUP("EUR",$X$5:$Y$9,2,FALSE)</f>
        <v>#NAME?</v>
      </c>
      <c r="AD6" s="46" t="e">
        <f ca="1">VLOOKUP("USD",$X$5:$Y$9,2,FALSE)</f>
        <v>#NAME?</v>
      </c>
      <c r="AE6" s="47" t="e">
        <f t="shared" ca="1" si="0"/>
        <v>#NAME?</v>
      </c>
      <c r="AF6" s="47" t="s">
        <v>11</v>
      </c>
      <c r="AG6" s="49" t="str">
        <f>IF($C$4=$E$4,IF($C$4="上昇","L","S"),"N")</f>
        <v>S</v>
      </c>
      <c r="AH6" s="38"/>
      <c r="AI6" s="38"/>
      <c r="AJ6" s="38"/>
      <c r="AK6" s="38"/>
      <c r="AL6" s="39"/>
      <c r="AM6" s="39"/>
      <c r="AN6" s="6"/>
    </row>
    <row r="7" spans="1:40" ht="26.1" customHeight="1">
      <c r="A7" s="1"/>
      <c r="B7" s="12" t="s">
        <v>15</v>
      </c>
      <c r="C7" s="52"/>
      <c r="D7" s="53"/>
      <c r="E7" s="52"/>
      <c r="F7" s="53"/>
      <c r="G7" s="54"/>
      <c r="H7" s="55"/>
      <c r="I7" s="54"/>
      <c r="J7" s="55"/>
      <c r="K7" s="13"/>
      <c r="L7" s="14" t="s">
        <v>12</v>
      </c>
      <c r="M7" s="13"/>
      <c r="N7" s="15" t="str">
        <f>IF(C7="","",IF(C7="上昇","GBP","USD"))</f>
        <v/>
      </c>
      <c r="O7" s="16" t="s">
        <v>30</v>
      </c>
      <c r="P7" s="15" t="str">
        <f>IF(C7="","",IF(C7="下落","GBP","USD"))</f>
        <v/>
      </c>
      <c r="Q7" s="15" t="str">
        <f>IF(E7="","",IF(E7="上昇","GBP","USD"))</f>
        <v/>
      </c>
      <c r="R7" s="16" t="s">
        <v>30</v>
      </c>
      <c r="S7" s="15" t="str">
        <f>IF(E7="","",IF(E7="下落","GBP","USD"))</f>
        <v/>
      </c>
      <c r="U7" s="36"/>
      <c r="V7" s="36"/>
      <c r="X7" s="41" t="s">
        <v>40</v>
      </c>
      <c r="Y7" s="40" t="e">
        <f ca="1">COUNTIFS($N$4:$N$13,X7)</f>
        <v>#NAME?</v>
      </c>
      <c r="Z7" s="41" t="s">
        <v>40</v>
      </c>
      <c r="AA7" s="40" t="e">
        <f ca="1">COUNTIFS($Q$4:$Q$13,Z7)</f>
        <v>#NAME?</v>
      </c>
      <c r="AC7" s="46" t="e">
        <f ca="1">VLOOKUP("GBP",$X$5:$Y$9,2,FALSE)</f>
        <v>#NAME?</v>
      </c>
      <c r="AD7" s="46" t="e">
        <f ca="1">VLOOKUP("JPY",$X$5:$Y$9,2,FALSE)</f>
        <v>#NAME?</v>
      </c>
      <c r="AE7" s="47" t="e">
        <f t="shared" ca="1" si="0"/>
        <v>#NAME?</v>
      </c>
      <c r="AF7" s="47" t="s">
        <v>16</v>
      </c>
      <c r="AG7" s="49" t="str">
        <f>IF($C$8=$E$8,IF($C$8="上昇","L","S"),"N")</f>
        <v>S</v>
      </c>
      <c r="AH7" s="39"/>
      <c r="AI7" s="38"/>
      <c r="AJ7" s="39"/>
      <c r="AK7" s="39"/>
      <c r="AL7" s="39"/>
      <c r="AM7" s="39"/>
      <c r="AN7" s="6"/>
    </row>
    <row r="8" spans="1:40" ht="26.1" customHeight="1">
      <c r="A8" s="1"/>
      <c r="B8" s="12" t="s">
        <v>16</v>
      </c>
      <c r="C8" s="52"/>
      <c r="D8" s="53"/>
      <c r="E8" s="52"/>
      <c r="F8" s="53"/>
      <c r="G8" s="54"/>
      <c r="H8" s="55"/>
      <c r="I8" s="54"/>
      <c r="J8" s="55"/>
      <c r="K8" s="13"/>
      <c r="L8" s="14" t="s">
        <v>12</v>
      </c>
      <c r="M8" s="13"/>
      <c r="N8" s="15" t="str">
        <f>IF(C8="","",IF(C8="上昇","GBP","JPY"))</f>
        <v/>
      </c>
      <c r="O8" s="16" t="s">
        <v>29</v>
      </c>
      <c r="P8" s="15" t="str">
        <f>IF(C8="","",IF(C8="下落","GBP","JPY"))</f>
        <v/>
      </c>
      <c r="Q8" s="15" t="str">
        <f>IF(E8="","",IF(E8="上昇","GBP","JPY"))</f>
        <v/>
      </c>
      <c r="R8" s="16" t="s">
        <v>29</v>
      </c>
      <c r="S8" s="15" t="str">
        <f>IF(E8="","",IF(E8="下落","GBP","JPY"))</f>
        <v/>
      </c>
      <c r="U8" s="36"/>
      <c r="V8" s="36"/>
      <c r="X8" s="40" t="s">
        <v>42</v>
      </c>
      <c r="Y8" s="40" t="e">
        <f ca="1">COUNTIFS($N$4:$N$13,X8)</f>
        <v>#NAME?</v>
      </c>
      <c r="Z8" s="41" t="s">
        <v>41</v>
      </c>
      <c r="AA8" s="40" t="e">
        <f ca="1">COUNTIFS($Q$4:$Q$13,Z8)</f>
        <v>#NAME?</v>
      </c>
      <c r="AC8" s="46" t="e">
        <f ca="1">VLOOKUP("GBP",$X$5:$Y$9,2,FALSE)</f>
        <v>#NAME?</v>
      </c>
      <c r="AD8" s="46" t="e">
        <f ca="1">VLOOKUP("USD",$X$5:$Y$9,2,FALSE)</f>
        <v>#NAME?</v>
      </c>
      <c r="AE8" s="47" t="e">
        <f t="shared" ca="1" si="0"/>
        <v>#NAME?</v>
      </c>
      <c r="AF8" s="47" t="s">
        <v>15</v>
      </c>
      <c r="AG8" s="49" t="str">
        <f>IF($C$7=$E$7,IF($C$7="上昇","L","S"),"N")</f>
        <v>S</v>
      </c>
      <c r="AH8" s="39"/>
      <c r="AI8" s="39"/>
      <c r="AJ8" s="39"/>
      <c r="AK8" s="39"/>
      <c r="AL8" s="39"/>
      <c r="AM8" s="39"/>
      <c r="AN8" s="6"/>
    </row>
    <row r="9" spans="1:40" ht="26.1" customHeight="1">
      <c r="A9" s="1"/>
      <c r="B9" s="12" t="s">
        <v>17</v>
      </c>
      <c r="C9" s="52"/>
      <c r="D9" s="53"/>
      <c r="E9" s="52"/>
      <c r="F9" s="53"/>
      <c r="G9" s="54"/>
      <c r="H9" s="55"/>
      <c r="I9" s="54"/>
      <c r="J9" s="55"/>
      <c r="K9" s="13"/>
      <c r="L9" s="14" t="s">
        <v>12</v>
      </c>
      <c r="M9" s="13"/>
      <c r="N9" s="15" t="str">
        <f>IF(C9="","",IF(C9="上昇","AUD","USD"))</f>
        <v/>
      </c>
      <c r="O9" s="16" t="s">
        <v>29</v>
      </c>
      <c r="P9" s="15" t="str">
        <f>IF(C9="","",IF(C9="下落","AUD","USD"))</f>
        <v/>
      </c>
      <c r="Q9" s="15" t="str">
        <f>IF(E9="","",IF(E9="上昇","AUD","USD"))</f>
        <v/>
      </c>
      <c r="R9" s="16" t="s">
        <v>32</v>
      </c>
      <c r="S9" s="15" t="str">
        <f>IF(E9="","",IF(E9="下落","AUD","USD"))</f>
        <v/>
      </c>
      <c r="U9" s="36"/>
      <c r="V9" s="36"/>
      <c r="X9" s="40" t="s">
        <v>44</v>
      </c>
      <c r="Y9" s="40" t="e">
        <f ca="1">COUNTIFS($N$4:$N$13,X9)</f>
        <v>#NAME?</v>
      </c>
      <c r="Z9" s="40" t="s">
        <v>44</v>
      </c>
      <c r="AA9" s="40" t="e">
        <f ca="1">COUNTIFS($Q$4:$Q$13,Z9)</f>
        <v>#NAME?</v>
      </c>
      <c r="AC9" s="46" t="e">
        <f ca="1">VLOOKUP("EUR",$X$5:$Y$9,2,FALSE)</f>
        <v>#NAME?</v>
      </c>
      <c r="AD9" s="46" t="e">
        <f ca="1">VLOOKUP("JPY",$X$5:$Y$9,2,FALSE)</f>
        <v>#NAME?</v>
      </c>
      <c r="AE9" s="47" t="e">
        <f t="shared" ca="1" si="0"/>
        <v>#NAME?</v>
      </c>
      <c r="AF9" s="47" t="s">
        <v>13</v>
      </c>
      <c r="AG9" s="49" t="str">
        <f>IF($C$5=$E$5,IF($C$5="上昇","L","S"),"N")</f>
        <v>S</v>
      </c>
      <c r="AH9" s="37"/>
      <c r="AI9" s="37"/>
      <c r="AJ9" s="37"/>
      <c r="AK9" s="37"/>
      <c r="AL9" s="37"/>
      <c r="AM9" s="37"/>
    </row>
    <row r="10" spans="1:40" ht="26.1" customHeight="1">
      <c r="A10" s="1"/>
      <c r="B10" s="12" t="s">
        <v>18</v>
      </c>
      <c r="C10" s="52"/>
      <c r="D10" s="53"/>
      <c r="E10" s="52"/>
      <c r="F10" s="53"/>
      <c r="G10" s="54"/>
      <c r="H10" s="55"/>
      <c r="I10" s="54"/>
      <c r="J10" s="55"/>
      <c r="K10" s="13"/>
      <c r="L10" s="14" t="s">
        <v>12</v>
      </c>
      <c r="M10" s="13"/>
      <c r="N10" s="15" t="str">
        <f>IF(C10="","",IF(C10="上昇","AUD","JPY"))</f>
        <v/>
      </c>
      <c r="O10" s="16" t="s">
        <v>29</v>
      </c>
      <c r="P10" s="15" t="str">
        <f>IF(C10="","",IF(C10="下落","AUD","JPY"))</f>
        <v/>
      </c>
      <c r="Q10" s="15" t="str">
        <f>IF(E10="","",IF(E10="上昇","AUD","JPY"))</f>
        <v/>
      </c>
      <c r="R10" s="16" t="s">
        <v>29</v>
      </c>
      <c r="S10" s="15" t="str">
        <f>IF(E10="","",IF(E10="下落","AUD","JPY"))</f>
        <v/>
      </c>
      <c r="U10" s="36"/>
      <c r="V10" s="36"/>
      <c r="X10" s="28"/>
      <c r="Y10" s="28"/>
      <c r="Z10" s="28"/>
      <c r="AA10" s="28"/>
      <c r="AB10" s="28"/>
      <c r="AC10" s="46" t="e">
        <f ca="1">VLOOKUP("AUD",$X$5:$Y$9,2,FALSE)</f>
        <v>#NAME?</v>
      </c>
      <c r="AD10" s="46" t="e">
        <f ca="1">VLOOKUP("USD",$X$5:$Y$9,2,FALSE)</f>
        <v>#NAME?</v>
      </c>
      <c r="AE10" s="47" t="e">
        <f t="shared" ca="1" si="0"/>
        <v>#NAME?</v>
      </c>
      <c r="AF10" s="47" t="s">
        <v>17</v>
      </c>
      <c r="AG10" s="49" t="str">
        <f>IF($C$9=$E$9,IF($C$9="上昇","L","S"),"N")</f>
        <v>S</v>
      </c>
      <c r="AH10" s="37"/>
      <c r="AI10" s="37"/>
      <c r="AJ10" s="37"/>
      <c r="AK10" s="37"/>
      <c r="AL10" s="37"/>
      <c r="AM10" s="37"/>
    </row>
    <row r="11" spans="1:40" ht="26.1" customHeight="1">
      <c r="A11" s="1"/>
      <c r="B11" s="12" t="s">
        <v>19</v>
      </c>
      <c r="C11" s="52"/>
      <c r="D11" s="53"/>
      <c r="E11" s="52"/>
      <c r="F11" s="53"/>
      <c r="G11" s="54"/>
      <c r="H11" s="55"/>
      <c r="I11" s="54"/>
      <c r="J11" s="55"/>
      <c r="K11" s="13"/>
      <c r="L11" s="14" t="s">
        <v>12</v>
      </c>
      <c r="M11" s="13"/>
      <c r="N11" s="15" t="str">
        <f>IF(C11="","",IF(C11="上昇","EUR","GBP"))</f>
        <v/>
      </c>
      <c r="O11" s="16" t="s">
        <v>29</v>
      </c>
      <c r="P11" s="15" t="str">
        <f>IF(C11="","",IF(C11="下落","EUR","GBP"))</f>
        <v/>
      </c>
      <c r="Q11" s="15" t="str">
        <f>IF(E11="","",IF(E11="上昇","EUR","GBP"))</f>
        <v/>
      </c>
      <c r="R11" s="16" t="s">
        <v>31</v>
      </c>
      <c r="S11" s="15" t="str">
        <f>IF(E11="","",IF(E11="下落","EUR","GBP"))</f>
        <v/>
      </c>
      <c r="U11" s="36"/>
      <c r="V11" s="36"/>
      <c r="Y11" s="35"/>
      <c r="AC11" s="46" t="e">
        <f ca="1">VLOOKUP("EUR",$X$5:$Y$9,2,FALSE)</f>
        <v>#NAME?</v>
      </c>
      <c r="AD11" s="46" t="e">
        <f ca="1">VLOOKUP("AUD",$X$5:$Y$9,2,FALSE)</f>
        <v>#NAME?</v>
      </c>
      <c r="AE11" s="47" t="e">
        <f t="shared" ca="1" si="0"/>
        <v>#NAME?</v>
      </c>
      <c r="AF11" s="47" t="s">
        <v>20</v>
      </c>
      <c r="AG11" s="49" t="str">
        <f>IF($C$12=$E$12,IF($C$12="上昇","L","S"),"N")</f>
        <v>S</v>
      </c>
      <c r="AH11" s="37"/>
      <c r="AI11" s="37"/>
      <c r="AJ11" s="37"/>
      <c r="AK11" s="37"/>
      <c r="AL11" s="37"/>
      <c r="AM11" s="37"/>
    </row>
    <row r="12" spans="1:40" ht="26.1" customHeight="1">
      <c r="A12" s="1"/>
      <c r="B12" s="12" t="s">
        <v>20</v>
      </c>
      <c r="C12" s="52"/>
      <c r="D12" s="53"/>
      <c r="E12" s="52"/>
      <c r="F12" s="53"/>
      <c r="G12" s="54"/>
      <c r="H12" s="55"/>
      <c r="I12" s="54"/>
      <c r="J12" s="55"/>
      <c r="K12" s="13"/>
      <c r="L12" s="16" t="s">
        <v>12</v>
      </c>
      <c r="M12" s="13"/>
      <c r="N12" s="15" t="str">
        <f>IF(C12="","",IF(C12="上昇","EUR","AUD"))</f>
        <v/>
      </c>
      <c r="O12" s="16" t="s">
        <v>30</v>
      </c>
      <c r="P12" s="15" t="str">
        <f>IF(C12="","",IF(C12="下落","EUR","AUD"))</f>
        <v/>
      </c>
      <c r="Q12" s="15" t="str">
        <f>IF(E12="","",IF(E12="上昇","EUR","AUD"))</f>
        <v/>
      </c>
      <c r="R12" s="16" t="s">
        <v>30</v>
      </c>
      <c r="S12" s="15" t="str">
        <f>IF(E12="","",IF(E12="下落","EUR","AUD"))</f>
        <v/>
      </c>
      <c r="U12" s="29"/>
      <c r="V12" s="29"/>
      <c r="Y12" s="35" t="e">
        <f ca="1">_xludf.COUNTIFS($N$4:$N$13,X5)</f>
        <v>#NAME?</v>
      </c>
      <c r="AC12" s="46" t="e">
        <f ca="1">VLOOKUP("GBP",$X$5:$Y$9,2,FALSE)</f>
        <v>#NAME?</v>
      </c>
      <c r="AD12" s="46" t="e">
        <f ca="1">VLOOKUP("AUD",$X$5:$Y$9,2,FALSE)</f>
        <v>#NAME?</v>
      </c>
      <c r="AE12" s="47" t="e">
        <f t="shared" ca="1" si="0"/>
        <v>#NAME?</v>
      </c>
      <c r="AF12" s="47" t="s">
        <v>21</v>
      </c>
      <c r="AG12" s="49" t="str">
        <f>IF($C$13=$E$13,IF($C$13="上昇","L","S"),"N")</f>
        <v>S</v>
      </c>
      <c r="AH12" s="35"/>
      <c r="AI12" s="35"/>
      <c r="AJ12" s="35"/>
      <c r="AK12" s="35"/>
      <c r="AL12" s="35"/>
    </row>
    <row r="13" spans="1:40" ht="26.1" customHeight="1">
      <c r="A13" s="1"/>
      <c r="B13" s="17" t="s">
        <v>21</v>
      </c>
      <c r="C13" s="52"/>
      <c r="D13" s="53"/>
      <c r="E13" s="52"/>
      <c r="F13" s="53"/>
      <c r="G13" s="54"/>
      <c r="H13" s="55"/>
      <c r="I13" s="54"/>
      <c r="J13" s="55"/>
      <c r="K13" s="13"/>
      <c r="L13" s="16" t="s">
        <v>12</v>
      </c>
      <c r="M13" s="13"/>
      <c r="N13" s="15" t="str">
        <f>IF(C13="","",IF(C13="上昇","GBP","AUD"))</f>
        <v/>
      </c>
      <c r="O13" s="16" t="s">
        <v>29</v>
      </c>
      <c r="P13" s="15" t="str">
        <f>IF(C13="","",IF(C13="下落","GBP","AUD"))</f>
        <v/>
      </c>
      <c r="Q13" s="15" t="str">
        <f>IF(E13="","",IF(E13="上昇","GBP","AUD"))</f>
        <v/>
      </c>
      <c r="R13" s="16" t="s">
        <v>30</v>
      </c>
      <c r="S13" s="15" t="str">
        <f>IF(E13="","",IF(E13="下落","GBP","AUD"))</f>
        <v/>
      </c>
      <c r="U13" s="29"/>
      <c r="V13" s="29"/>
      <c r="AH13" s="29"/>
    </row>
    <row r="14" spans="1:40" ht="17.25">
      <c r="B14" s="63" t="s">
        <v>22</v>
      </c>
      <c r="C14" s="64"/>
      <c r="D14" s="64"/>
      <c r="E14" s="64"/>
      <c r="F14" s="64"/>
      <c r="G14" s="64"/>
      <c r="H14" s="64"/>
      <c r="I14" s="64"/>
      <c r="J14" s="18"/>
      <c r="K14" s="19"/>
      <c r="L14" s="19"/>
      <c r="M14" s="19"/>
      <c r="N14" s="19"/>
      <c r="O14" s="19"/>
      <c r="P14" s="19"/>
      <c r="Q14" s="19"/>
      <c r="R14" s="19"/>
      <c r="S14" s="20"/>
    </row>
    <row r="15" spans="1:40" ht="17.25">
      <c r="B15" s="58"/>
      <c r="C15" s="58"/>
      <c r="D15" s="58"/>
      <c r="E15" s="58"/>
      <c r="F15" s="58"/>
      <c r="G15" s="58"/>
      <c r="H15" s="58"/>
      <c r="I15" s="58"/>
      <c r="J15" s="21"/>
      <c r="K15" s="22"/>
      <c r="L15" s="20"/>
      <c r="M15" s="20"/>
      <c r="N15" s="20"/>
      <c r="O15" s="20"/>
      <c r="P15" s="20"/>
      <c r="Q15" s="20"/>
      <c r="R15" s="20"/>
      <c r="S15" s="20"/>
    </row>
    <row r="16" spans="1:40" ht="25.5" customHeight="1">
      <c r="B16" s="23"/>
      <c r="C16" s="56" t="s">
        <v>23</v>
      </c>
      <c r="D16" s="57"/>
      <c r="E16" s="59" t="s">
        <v>24</v>
      </c>
      <c r="F16" s="60"/>
      <c r="G16" s="60"/>
      <c r="H16" s="60"/>
      <c r="I16" s="61"/>
      <c r="J16" s="50" t="s">
        <v>25</v>
      </c>
      <c r="K16" s="51"/>
      <c r="L16" s="22"/>
      <c r="M16" s="24" t="s">
        <v>26</v>
      </c>
    </row>
    <row r="17" spans="2:18" ht="25.5" customHeight="1">
      <c r="B17" s="25" t="s">
        <v>35</v>
      </c>
      <c r="C17" s="42" t="str">
        <f>X5</f>
        <v>JPY</v>
      </c>
      <c r="D17" s="42" t="e">
        <f ca="1">IF(Y5&gt;Y6,"＞","＝")</f>
        <v>#NAME?</v>
      </c>
      <c r="E17" s="42" t="str">
        <f>X6</f>
        <v>EUR</v>
      </c>
      <c r="F17" s="42" t="e">
        <f ca="1">IF(Y6&gt;Y7,"＞","＝")</f>
        <v>#NAME?</v>
      </c>
      <c r="G17" s="42" t="str">
        <f>X7</f>
        <v>GBP</v>
      </c>
      <c r="H17" s="42" t="e">
        <f ca="1">IF(Y7&gt;Y8,"＞","＝")</f>
        <v>#NAME?</v>
      </c>
      <c r="I17" s="42" t="str">
        <f>X8</f>
        <v>AUD</v>
      </c>
      <c r="J17" s="42" t="e">
        <f ca="1">IF(Y8&gt;Y9,"＞","＝")</f>
        <v>#NAME?</v>
      </c>
      <c r="K17" s="43" t="str">
        <f>X9</f>
        <v>USD</v>
      </c>
      <c r="L17" s="22"/>
      <c r="M17" s="24" t="s">
        <v>27</v>
      </c>
      <c r="N17" t="s">
        <v>45</v>
      </c>
    </row>
    <row r="18" spans="2:18" ht="25.5" customHeight="1">
      <c r="B18" s="26" t="s">
        <v>36</v>
      </c>
      <c r="C18" s="44" t="str">
        <f>Z5</f>
        <v>EUR</v>
      </c>
      <c r="D18" s="42" t="e">
        <f ca="1">IF(AA5&gt;AA6,"＞","＝")</f>
        <v>#NAME?</v>
      </c>
      <c r="E18" s="44" t="str">
        <f>Z6</f>
        <v>AUD</v>
      </c>
      <c r="F18" s="42" t="e">
        <f ca="1">IF(AA6&gt;AA7,"＞","＝")</f>
        <v>#NAME?</v>
      </c>
      <c r="G18" s="44" t="str">
        <f>Z7</f>
        <v>GBP</v>
      </c>
      <c r="H18" s="42" t="e">
        <f ca="1">IF(AA7&gt;AA8,"＞","＝")</f>
        <v>#NAME?</v>
      </c>
      <c r="I18" s="44" t="str">
        <f>Z8</f>
        <v>JPY</v>
      </c>
      <c r="J18" s="42" t="e">
        <f ca="1">IF(AA8&gt;AA9,"＞","＝")</f>
        <v>#NAME?</v>
      </c>
      <c r="K18" s="45" t="str">
        <f>Z9</f>
        <v>USD</v>
      </c>
      <c r="L18" s="22"/>
      <c r="M18" s="24" t="s">
        <v>28</v>
      </c>
    </row>
    <row r="19" spans="2:18" ht="25.5" customHeight="1">
      <c r="B19" s="33"/>
      <c r="C19" s="34"/>
      <c r="D19" s="33"/>
      <c r="E19" s="34"/>
      <c r="F19" s="33"/>
      <c r="G19" s="34"/>
      <c r="H19" s="33"/>
      <c r="I19" s="34"/>
      <c r="J19" s="33"/>
      <c r="K19" s="7"/>
    </row>
    <row r="20" spans="2:18">
      <c r="K20" s="6"/>
      <c r="L20" s="6"/>
      <c r="M20" s="6"/>
      <c r="N20" s="6"/>
      <c r="O20" s="6"/>
      <c r="P20" s="6"/>
      <c r="Q20" s="6"/>
      <c r="R20" s="6"/>
    </row>
    <row r="21" spans="2:18">
      <c r="K21" s="6"/>
      <c r="L21" s="6"/>
      <c r="M21" s="6"/>
      <c r="N21" s="6"/>
      <c r="O21" s="6"/>
      <c r="P21" s="6"/>
      <c r="Q21" s="6"/>
      <c r="R21" s="6"/>
    </row>
  </sheetData>
  <mergeCells count="57">
    <mergeCell ref="Q3:S3"/>
    <mergeCell ref="N3:P3"/>
    <mergeCell ref="G5:H5"/>
    <mergeCell ref="E6:F6"/>
    <mergeCell ref="K3:M3"/>
    <mergeCell ref="I6:J6"/>
    <mergeCell ref="I5:J5"/>
    <mergeCell ref="G6:H6"/>
    <mergeCell ref="E5:F5"/>
    <mergeCell ref="G4:H4"/>
    <mergeCell ref="C5:D5"/>
    <mergeCell ref="C8:D8"/>
    <mergeCell ref="G9:H9"/>
    <mergeCell ref="E4:F4"/>
    <mergeCell ref="C13:D13"/>
    <mergeCell ref="I10:J10"/>
    <mergeCell ref="C7:D7"/>
    <mergeCell ref="G10:H10"/>
    <mergeCell ref="I11:J11"/>
    <mergeCell ref="E10:F10"/>
    <mergeCell ref="G3:H3"/>
    <mergeCell ref="E3:F3"/>
    <mergeCell ref="I3:J3"/>
    <mergeCell ref="G8:H8"/>
    <mergeCell ref="C10:D10"/>
    <mergeCell ref="E11:F11"/>
    <mergeCell ref="C11:D11"/>
    <mergeCell ref="C3:D3"/>
    <mergeCell ref="I4:J4"/>
    <mergeCell ref="C4:D4"/>
    <mergeCell ref="X4:Y4"/>
    <mergeCell ref="Z4:AA4"/>
    <mergeCell ref="H15:I15"/>
    <mergeCell ref="B14:I14"/>
    <mergeCell ref="G12:H12"/>
    <mergeCell ref="C12:D12"/>
    <mergeCell ref="I12:J12"/>
    <mergeCell ref="C9:D9"/>
    <mergeCell ref="E9:F9"/>
    <mergeCell ref="C6:D6"/>
    <mergeCell ref="C16:D16"/>
    <mergeCell ref="D15:E15"/>
    <mergeCell ref="F15:G15"/>
    <mergeCell ref="B15:C15"/>
    <mergeCell ref="E16:I16"/>
    <mergeCell ref="G11:H11"/>
    <mergeCell ref="E12:F12"/>
    <mergeCell ref="E13:F13"/>
    <mergeCell ref="G13:H13"/>
    <mergeCell ref="J16:K16"/>
    <mergeCell ref="E8:F8"/>
    <mergeCell ref="G7:H7"/>
    <mergeCell ref="I7:J7"/>
    <mergeCell ref="E7:F7"/>
    <mergeCell ref="I13:J13"/>
    <mergeCell ref="I8:J8"/>
    <mergeCell ref="I9:J9"/>
  </mergeCells>
  <phoneticPr fontId="1"/>
  <conditionalFormatting sqref="G4:J13">
    <cfRule type="containsText" dxfId="3" priority="3" operator="containsText" text="下落">
      <formula>NOT(ISERROR(SEARCH("下落",G4)))</formula>
    </cfRule>
    <cfRule type="containsText" dxfId="2" priority="4" operator="containsText" text="上昇">
      <formula>NOT(ISERROR(SEARCH("上昇",G4)))</formula>
    </cfRule>
  </conditionalFormatting>
  <conditionalFormatting sqref="C4:F13">
    <cfRule type="containsText" dxfId="1" priority="1" operator="containsText" text="下落">
      <formula>NOT(ISERROR(SEARCH("下落",C4)))</formula>
    </cfRule>
    <cfRule type="containsText" dxfId="0" priority="2" operator="containsText" text="上昇">
      <formula>NOT(ISERROR(SEARCH("上昇",C4)))</formula>
    </cfRule>
  </conditionalFormatting>
  <dataValidations count="1">
    <dataValidation type="list" allowBlank="1" showInputMessage="1" showErrorMessage="1" sqref="C4:J13">
      <formula1>"上昇,下落"</formula1>
    </dataValidation>
  </dataValidations>
  <pageMargins left="0.7" right="0.7" top="0.75" bottom="0.75" header="0.3" footer="0.3"/>
  <pageSetup paperSize="9" orientation="portrait" horizontalDpi="429496729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2017-03-20T12:24:37Z</dcterms:modified>
</cp:coreProperties>
</file>